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==Curso de manutenção de redutores\==Prontas\Planilhas e Mathcad\"/>
    </mc:Choice>
  </mc:AlternateContent>
  <xr:revisionPtr revIDLastSave="0" documentId="13_ncr:1_{98081C75-0C7E-4EB9-A4EC-6FBB8B5D0236}" xr6:coauthVersionLast="47" xr6:coauthVersionMax="47" xr10:uidLastSave="{00000000-0000-0000-0000-000000000000}"/>
  <bookViews>
    <workbookView xWindow="-120" yWindow="-120" windowWidth="29040" windowHeight="15720" xr2:uid="{D59C64F2-9BCE-4053-A827-BEAF9FD32E10}"/>
  </bookViews>
  <sheets>
    <sheet name="Folga_Con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6" i="3" l="1"/>
  <c r="N34" i="3"/>
  <c r="N55" i="3"/>
  <c r="N53" i="3"/>
  <c r="N60" i="3"/>
  <c r="N44" i="3"/>
  <c r="N32" i="3"/>
  <c r="N41" i="3" a="1"/>
  <c r="N29" i="3" a="1"/>
  <c r="N57" i="3" a="1"/>
  <c r="N29" i="3" l="1"/>
  <c r="N57" i="3"/>
  <c r="N61" i="3" s="1"/>
  <c r="N41" i="3"/>
  <c r="N51" i="3" a="1"/>
  <c r="N51" i="3" l="1"/>
  <c r="N62" i="3" s="1"/>
  <c r="N64" i="3"/>
  <c r="N63" i="3"/>
  <c r="N65" i="3" a="1"/>
  <c r="N66" i="3" l="1"/>
  <c r="N65" i="3"/>
  <c r="N67" i="3" l="1"/>
  <c r="N68" i="3" a="1"/>
  <c r="N68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<sst xmlns="http://schemas.openxmlformats.org/spreadsheetml/2006/main" count="101" uniqueCount="67">
  <si>
    <t>Cálculo da folga nas tampas de rolamentos cônicos</t>
  </si>
  <si>
    <t>Preencher células em amarelo</t>
  </si>
  <si>
    <t>mm</t>
  </si>
  <si>
    <t>Material do eixo</t>
  </si>
  <si>
    <t>Material da caixa</t>
  </si>
  <si>
    <t>Ferro Fundido</t>
  </si>
  <si>
    <t>Aço</t>
  </si>
  <si>
    <t>Alumínio</t>
  </si>
  <si>
    <t>Material</t>
  </si>
  <si>
    <t>Coeficiente de dilatação linear</t>
  </si>
  <si>
    <t>Rotação do eixo (rpm)</t>
  </si>
  <si>
    <t>De</t>
  </si>
  <si>
    <t>Até</t>
  </si>
  <si>
    <t xml:space="preserve">   Temperatura </t>
  </si>
  <si>
    <t>Coeficiente de dilatação do material do eixo</t>
  </si>
  <si>
    <t>Coeficiente de dilatação do material da caixa</t>
  </si>
  <si>
    <t>Rotação do eixo</t>
  </si>
  <si>
    <t>rpm</t>
  </si>
  <si>
    <t>Até (inclusive)</t>
  </si>
  <si>
    <t>Temperatura ambiente</t>
  </si>
  <si>
    <t>Temperatura da caixa</t>
  </si>
  <si>
    <t>Diferença de temperatura caixa - meio ambiente</t>
  </si>
  <si>
    <t>Diferença de temperatura eixo - meio ambiente</t>
  </si>
  <si>
    <t>Diferença de temperatura eixo - caixa</t>
  </si>
  <si>
    <t>Dilatação linear do eixo</t>
  </si>
  <si>
    <t>Dilatação linear da caixa</t>
  </si>
  <si>
    <t>Folga necessária na tampa</t>
  </si>
  <si>
    <t>Tolerância da folga</t>
  </si>
  <si>
    <t xml:space="preserve"> +0,05 / -0,00</t>
  </si>
  <si>
    <t>EXEMPLO DO CÁLCULO</t>
  </si>
  <si>
    <t>PARA ABRIR O ARQUIVO</t>
  </si>
  <si>
    <t>CLIQUE SOBRE A IMAGEM</t>
  </si>
  <si>
    <t>Distância L</t>
  </si>
  <si>
    <t xml:space="preserve">Montagem em </t>
  </si>
  <si>
    <t>X</t>
  </si>
  <si>
    <t>O</t>
  </si>
  <si>
    <t>Distância Lo</t>
  </si>
  <si>
    <t>Código do rolamento 1</t>
  </si>
  <si>
    <t>Código do rolamento 2</t>
  </si>
  <si>
    <t>ROLAMENTO 1</t>
  </si>
  <si>
    <t>ROLAMENTO 2</t>
  </si>
  <si>
    <r>
      <t xml:space="preserve">Dimensão </t>
    </r>
    <r>
      <rPr>
        <sz val="14"/>
        <color rgb="FFFF0000"/>
        <rFont val="Calibri"/>
        <family val="2"/>
        <scheme val="minor"/>
      </rPr>
      <t>B</t>
    </r>
    <r>
      <rPr>
        <sz val="14"/>
        <color theme="1"/>
        <rFont val="Calibri"/>
        <family val="2"/>
        <scheme val="minor"/>
      </rPr>
      <t xml:space="preserve"> do rolamento 1</t>
    </r>
  </si>
  <si>
    <r>
      <t xml:space="preserve">Dimensão </t>
    </r>
    <r>
      <rPr>
        <sz val="14"/>
        <color rgb="FFFF0000"/>
        <rFont val="Calibri"/>
        <family val="2"/>
        <scheme val="minor"/>
      </rPr>
      <t>m1</t>
    </r>
  </si>
  <si>
    <r>
      <t xml:space="preserve">Dimensão </t>
    </r>
    <r>
      <rPr>
        <sz val="14"/>
        <color rgb="FFFF0000"/>
        <rFont val="Calibri"/>
        <family val="2"/>
        <scheme val="minor"/>
      </rPr>
      <t xml:space="preserve">a </t>
    </r>
    <r>
      <rPr>
        <sz val="14"/>
        <color theme="1"/>
        <rFont val="Calibri"/>
        <family val="2"/>
        <scheme val="minor"/>
      </rPr>
      <t>rolamento 1</t>
    </r>
  </si>
  <si>
    <r>
      <t xml:space="preserve">Dimensão </t>
    </r>
    <r>
      <rPr>
        <sz val="14"/>
        <color rgb="FFFF0000"/>
        <rFont val="Calibri"/>
        <family val="2"/>
        <scheme val="minor"/>
      </rPr>
      <t>d</t>
    </r>
    <r>
      <rPr>
        <sz val="14"/>
        <color theme="1"/>
        <rFont val="Calibri"/>
        <family val="2"/>
        <scheme val="minor"/>
      </rPr>
      <t xml:space="preserve"> do rolamento 1</t>
    </r>
  </si>
  <si>
    <r>
      <t xml:space="preserve">Dimensão </t>
    </r>
    <r>
      <rPr>
        <sz val="14"/>
        <color rgb="FFFF0000"/>
        <rFont val="Calibri"/>
        <family val="2"/>
        <scheme val="minor"/>
      </rPr>
      <t>D</t>
    </r>
    <r>
      <rPr>
        <sz val="14"/>
        <color theme="1"/>
        <rFont val="Calibri"/>
        <family val="2"/>
        <scheme val="minor"/>
      </rPr>
      <t xml:space="preserve"> do rolamento 1</t>
    </r>
  </si>
  <si>
    <r>
      <t xml:space="preserve">Dimensão </t>
    </r>
    <r>
      <rPr>
        <sz val="14"/>
        <color rgb="FFFF0000"/>
        <rFont val="Calibri"/>
        <family val="2"/>
        <scheme val="minor"/>
      </rPr>
      <t>a</t>
    </r>
    <r>
      <rPr>
        <sz val="14"/>
        <color theme="1"/>
        <rFont val="Calibri"/>
        <family val="2"/>
        <scheme val="minor"/>
      </rPr>
      <t xml:space="preserve"> rolamento 2</t>
    </r>
  </si>
  <si>
    <r>
      <t xml:space="preserve">Dimensão </t>
    </r>
    <r>
      <rPr>
        <sz val="14"/>
        <color rgb="FFFF0000"/>
        <rFont val="Calibri"/>
        <family val="2"/>
        <scheme val="minor"/>
      </rPr>
      <t>B</t>
    </r>
    <r>
      <rPr>
        <sz val="14"/>
        <color theme="1"/>
        <rFont val="Calibri"/>
        <family val="2"/>
        <scheme val="minor"/>
      </rPr>
      <t xml:space="preserve"> do rolamento 2</t>
    </r>
  </si>
  <si>
    <r>
      <t xml:space="preserve">Dimensão </t>
    </r>
    <r>
      <rPr>
        <sz val="14"/>
        <color rgb="FFFF0000"/>
        <rFont val="Calibri"/>
        <family val="2"/>
        <scheme val="minor"/>
      </rPr>
      <t>m2</t>
    </r>
  </si>
  <si>
    <r>
      <t xml:space="preserve">Dimensão </t>
    </r>
    <r>
      <rPr>
        <sz val="14"/>
        <color rgb="FFFF0000"/>
        <rFont val="Calibri"/>
        <family val="2"/>
        <scheme val="minor"/>
      </rPr>
      <t>d</t>
    </r>
    <r>
      <rPr>
        <sz val="14"/>
        <color theme="1"/>
        <rFont val="Calibri"/>
        <family val="2"/>
        <scheme val="minor"/>
      </rPr>
      <t xml:space="preserve"> do rolamento 2</t>
    </r>
  </si>
  <si>
    <r>
      <t xml:space="preserve">Dimensão </t>
    </r>
    <r>
      <rPr>
        <sz val="14"/>
        <color rgb="FFFF0000"/>
        <rFont val="Calibri"/>
        <family val="2"/>
        <scheme val="minor"/>
      </rPr>
      <t>D</t>
    </r>
    <r>
      <rPr>
        <sz val="14"/>
        <color theme="1"/>
        <rFont val="Calibri"/>
        <family val="2"/>
        <scheme val="minor"/>
      </rPr>
      <t xml:space="preserve"> do rolamento 2</t>
    </r>
  </si>
  <si>
    <t>Diâmetro médio do rolamento 1</t>
  </si>
  <si>
    <t>Diâmetro médio do rolamento 2</t>
  </si>
  <si>
    <t>FIGURA 1</t>
  </si>
  <si>
    <t>FIGURA 2</t>
  </si>
  <si>
    <r>
      <t xml:space="preserve">Dimensão </t>
    </r>
    <r>
      <rPr>
        <sz val="14"/>
        <color rgb="FFFF0000"/>
        <rFont val="Calibri"/>
        <family val="2"/>
        <scheme val="minor"/>
      </rPr>
      <t xml:space="preserve">a </t>
    </r>
    <r>
      <rPr>
        <sz val="14"/>
        <rFont val="Calibri"/>
        <family val="2"/>
        <scheme val="minor"/>
      </rPr>
      <t xml:space="preserve">do </t>
    </r>
    <r>
      <rPr>
        <sz val="14"/>
        <color theme="1"/>
        <rFont val="Calibri"/>
        <family val="2"/>
        <scheme val="minor"/>
      </rPr>
      <t>rolamento 1 conforme figura</t>
    </r>
  </si>
  <si>
    <r>
      <t xml:space="preserve">Dimensão </t>
    </r>
    <r>
      <rPr>
        <sz val="14"/>
        <color rgb="FFFF0000"/>
        <rFont val="Calibri"/>
        <family val="2"/>
        <scheme val="minor"/>
      </rPr>
      <t>a</t>
    </r>
    <r>
      <rPr>
        <sz val="14"/>
        <color theme="1"/>
        <rFont val="Calibri"/>
        <family val="2"/>
        <scheme val="minor"/>
      </rPr>
      <t xml:space="preserve"> do rolamento 2 conforme figura</t>
    </r>
  </si>
  <si>
    <r>
      <t xml:space="preserve">Valor de </t>
    </r>
    <r>
      <rPr>
        <sz val="14"/>
        <color rgb="FFFF0000"/>
        <rFont val="Calibri"/>
        <family val="2"/>
        <scheme val="minor"/>
      </rPr>
      <t>e</t>
    </r>
    <r>
      <rPr>
        <sz val="14"/>
        <color theme="1"/>
        <rFont val="Calibri"/>
        <family val="2"/>
        <scheme val="minor"/>
      </rPr>
      <t xml:space="preserve"> do rolamento 1</t>
    </r>
  </si>
  <si>
    <r>
      <t xml:space="preserve">Cotangente do ângulo </t>
    </r>
    <r>
      <rPr>
        <sz val="14"/>
        <color rgb="FFFF0000"/>
        <rFont val="Calibri"/>
        <family val="2"/>
      </rPr>
      <t xml:space="preserve">α </t>
    </r>
    <r>
      <rPr>
        <sz val="14"/>
        <rFont val="Calibri"/>
        <family val="2"/>
      </rPr>
      <t>do rolamento 1</t>
    </r>
  </si>
  <si>
    <t>Cotangente do ângulo α do rolamento 2</t>
  </si>
  <si>
    <t>Dilatação linear do  eixo + rolamentos</t>
  </si>
  <si>
    <t>Diferença entre as dilatações</t>
  </si>
  <si>
    <t>CÁLCULOS</t>
  </si>
  <si>
    <t>Dilatação na direção do eixo do rolamento 1</t>
  </si>
  <si>
    <t>Dilatação na direção do eixo do rolamento 2</t>
  </si>
  <si>
    <r>
      <t xml:space="preserve">Valor de </t>
    </r>
    <r>
      <rPr>
        <sz val="14"/>
        <color rgb="FFFF0000"/>
        <rFont val="Calibri"/>
        <family val="2"/>
        <scheme val="minor"/>
      </rPr>
      <t>e</t>
    </r>
    <r>
      <rPr>
        <sz val="14"/>
        <color theme="1"/>
        <rFont val="Calibri"/>
        <family val="2"/>
        <scheme val="minor"/>
      </rPr>
      <t xml:space="preserve"> do rolamento 2</t>
    </r>
  </si>
  <si>
    <t>E33111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</si>
</sst>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rgb="FFFF0000"/>
      <name val="Calibri"/>
      <family val="2"/>
    </font>
    <font>
      <sz val="14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0" fontId="0" fillId="4" borderId="2" xfId="0" applyFill="1" applyBorder="1"/>
    <xf numFmtId="0" fontId="2" fillId="2" borderId="0" xfId="0" applyFont="1" applyFill="1" applyAlignment="1">
      <alignment horizontal="center"/>
    </xf>
    <xf numFmtId="0" fontId="0" fillId="4" borderId="2" xfId="0" applyFill="1" applyBorder="1" applyAlignment="1">
      <alignment horizontal="center" vertical="center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1" fontId="0" fillId="3" borderId="2" xfId="0" applyNumberFormat="1" applyFill="1" applyBorder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6" borderId="2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166" fontId="0" fillId="5" borderId="2" xfId="0" applyNumberForma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0" fontId="0" fillId="6" borderId="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219075</xdr:colOff>
      <xdr:row>0</xdr:row>
      <xdr:rowOff>85725</xdr:rowOff>
    </xdr:from>
    <xdr:to>
      <xdr:col>2</xdr:col>
      <xdr:colOff>678252</xdr:colOff>
      <xdr:row>2</xdr:row>
      <xdr:rowOff>181275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19075" y="85725"/>
          <a:ext cx="1992702" cy="619425"/>
          <a:chOff x="10092906" y="134617"/>
          <a:chExt cx="1992702" cy="648000"/>
        </a:xfrm>
      </xdr:grpSpPr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092906" y="134617"/>
            <a:ext cx="1992702" cy="648000"/>
          </a:xfrm>
          <a:prstGeom prst="roundRect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85474" y="174616"/>
            <a:ext cx="1812950" cy="539128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495300</xdr:colOff>
      <xdr:row>5</xdr:row>
      <xdr:rowOff>104775</xdr:rowOff>
    </xdr:from>
    <xdr:to>
      <xdr:col>18</xdr:col>
      <xdr:colOff>430500</xdr:colOff>
      <xdr:row>25</xdr:row>
      <xdr:rowOff>105262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944100" y="1095375"/>
          <a:ext cx="1649700" cy="3981937"/>
          <a:chOff x="10972800" y="1047750"/>
          <a:chExt cx="1764000" cy="3810487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972800" y="1371600"/>
            <a:ext cx="1762371" cy="3486637"/>
          </a:xfrm>
          <a:prstGeom prst="rect">
            <a:avLst/>
          </a:prstGeom>
        </xdr:spPr>
      </xdr:pic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10972800" y="1047750"/>
            <a:ext cx="1764000" cy="3238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>
                <a:solidFill>
                  <a:srgbClr val="FF0000"/>
                </a:solidFill>
              </a:rPr>
              <a:t>FIGURA 1</a:t>
            </a:r>
          </a:p>
        </xdr:txBody>
      </xdr:sp>
    </xdr:grpSp>
    <xdr:clientData/>
  </xdr:twoCellAnchor>
  <xdr:twoCellAnchor>
    <xdr:from>
      <xdr:col>19</xdr:col>
      <xdr:colOff>76199</xdr:colOff>
      <xdr:row>5</xdr:row>
      <xdr:rowOff>104775</xdr:rowOff>
    </xdr:from>
    <xdr:to>
      <xdr:col>22</xdr:col>
      <xdr:colOff>227399</xdr:colOff>
      <xdr:row>23</xdr:row>
      <xdr:rowOff>85724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849099" y="1095375"/>
          <a:ext cx="1980000" cy="3533774"/>
          <a:chOff x="13030199" y="1057275"/>
          <a:chExt cx="1980000" cy="3409949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030199" y="1362075"/>
            <a:ext cx="1980000" cy="2477438"/>
          </a:xfrm>
          <a:prstGeom prst="rect">
            <a:avLst/>
          </a:prstGeom>
        </xdr:spPr>
      </xdr:pic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3030199" y="3752849"/>
            <a:ext cx="1980000" cy="7143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"</a:t>
            </a:r>
            <a:r>
              <a:rPr lang="pt-BR" sz="1100">
                <a:solidFill>
                  <a:srgbClr val="FF0000"/>
                </a:solidFill>
              </a:rPr>
              <a:t>a</a:t>
            </a:r>
            <a:r>
              <a:rPr lang="pt-BR" sz="1100"/>
              <a:t>" negativo indica que o ponto de pressão está dentro do cone (anel interno)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13030199" y="1057275"/>
            <a:ext cx="1980000" cy="3238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>
                <a:solidFill>
                  <a:srgbClr val="FF0000"/>
                </a:solidFill>
              </a:rPr>
              <a:t>FIGURA  2</a:t>
            </a:r>
          </a:p>
        </xdr:txBody>
      </xdr:sp>
    </xdr:grpSp>
    <xdr:clientData/>
  </xdr:twoCellAnchor>
  <xdr:twoCellAnchor editAs="oneCell">
    <xdr:from>
      <xdr:col>1</xdr:col>
      <xdr:colOff>361949</xdr:colOff>
      <xdr:row>8</xdr:row>
      <xdr:rowOff>19050</xdr:rowOff>
    </xdr:from>
    <xdr:to>
      <xdr:col>3</xdr:col>
      <xdr:colOff>114299</xdr:colOff>
      <xdr:row>20</xdr:row>
      <xdr:rowOff>42782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1549" y="1514475"/>
          <a:ext cx="1628775" cy="2309732"/>
        </a:xfrm>
        <a:prstGeom prst="rect">
          <a:avLst/>
        </a:prstGeom>
      </xdr:spPr>
    </xdr:pic>
    <xdr:clientData/>
  </xdr:twoCellAnchor>
  <xdr:twoCellAnchor>
    <xdr:from>
      <xdr:col>0</xdr:col>
      <xdr:colOff>419101</xdr:colOff>
      <xdr:row>5</xdr:row>
      <xdr:rowOff>66675</xdr:rowOff>
    </xdr:from>
    <xdr:to>
      <xdr:col>4</xdr:col>
      <xdr:colOff>285751</xdr:colOff>
      <xdr:row>7</xdr:row>
      <xdr:rowOff>152400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19101" y="1057275"/>
          <a:ext cx="2305050" cy="5429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/>
            <a:t>Este cálculo é válido para o seguinte tipo rolamento:</a:t>
          </a:r>
        </a:p>
      </xdr:txBody>
    </xdr:sp>
    <xdr:clientData/>
  </xdr:twoCellAnchor>
  <xdr:oneCellAnchor>
    <xdr:from>
      <xdr:col>4</xdr:col>
      <xdr:colOff>447675</xdr:colOff>
      <xdr:row>21</xdr:row>
      <xdr:rowOff>23812</xdr:rowOff>
    </xdr:from>
    <xdr:ext cx="299697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3543300" y="3833812"/>
              <a:ext cx="299697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pt-BR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℃</m:t>
                        </m:r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0C8AD65E-F4A8-4525-9D09-822397007425}"/>
                </a:ext>
              </a:extLst>
            </xdr:cNvPr>
            <xdr:cNvSpPr txBox="1"/>
          </xdr:nvSpPr>
          <xdr:spPr>
            <a:xfrm>
              <a:off x="3543300" y="3833812"/>
              <a:ext cx="299697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℃^(</a:t>
              </a:r>
              <a:r>
                <a:rPr lang="pt-BR" sz="1100" b="0" i="0">
                  <a:latin typeface="Cambria Math" panose="02040503050406030204" pitchFamily="18" charset="0"/>
                </a:rPr>
                <a:t>−1)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4</xdr:col>
      <xdr:colOff>295275</xdr:colOff>
      <xdr:row>26</xdr:row>
      <xdr:rowOff>23812</xdr:rowOff>
    </xdr:from>
    <xdr:ext cx="1594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 txBox="1"/>
          </xdr:nvSpPr>
          <xdr:spPr>
            <a:xfrm>
              <a:off x="3390900" y="5024437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℃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318B50A3-D0EE-41EC-A25C-A84807A72A98}"/>
                </a:ext>
              </a:extLst>
            </xdr:cNvPr>
            <xdr:cNvSpPr txBox="1"/>
          </xdr:nvSpPr>
          <xdr:spPr>
            <a:xfrm>
              <a:off x="3390900" y="5024437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6</xdr:col>
      <xdr:colOff>123823</xdr:colOff>
      <xdr:row>5</xdr:row>
      <xdr:rowOff>95250</xdr:rowOff>
    </xdr:from>
    <xdr:to>
      <xdr:col>11</xdr:col>
      <xdr:colOff>333599</xdr:colOff>
      <xdr:row>20</xdr:row>
      <xdr:rowOff>120439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4019548" y="1085850"/>
          <a:ext cx="2772001" cy="2958889"/>
          <a:chOff x="4333873" y="1076325"/>
          <a:chExt cx="2772001" cy="2958889"/>
        </a:xfrm>
      </xdr:grpSpPr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4333874" y="1076325"/>
            <a:ext cx="2772000" cy="542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/>
              <a:t>MONTAGEM EM "</a:t>
            </a:r>
            <a:r>
              <a:rPr lang="pt-BR" sz="1400">
                <a:solidFill>
                  <a:srgbClr val="FF0000"/>
                </a:solidFill>
              </a:rPr>
              <a:t>X</a:t>
            </a:r>
            <a:r>
              <a:rPr lang="pt-BR" sz="1400"/>
              <a:t>"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1691" t="21775" r="44118" b="17793"/>
          <a:stretch/>
        </xdr:blipFill>
        <xdr:spPr>
          <a:xfrm>
            <a:off x="4333873" y="1581148"/>
            <a:ext cx="2772000" cy="245406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542925</xdr:colOff>
      <xdr:row>5</xdr:row>
      <xdr:rowOff>85725</xdr:rowOff>
    </xdr:from>
    <xdr:to>
      <xdr:col>14</xdr:col>
      <xdr:colOff>600300</xdr:colOff>
      <xdr:row>20</xdr:row>
      <xdr:rowOff>139134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00875" y="1076325"/>
          <a:ext cx="2772000" cy="2987109"/>
          <a:chOff x="7467600" y="1076325"/>
          <a:chExt cx="2772000" cy="2987109"/>
        </a:xfrm>
      </xdr:grpSpPr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1305" t="8562" r="37619" b="18282"/>
          <a:stretch/>
        </xdr:blipFill>
        <xdr:spPr>
          <a:xfrm>
            <a:off x="7467600" y="1590675"/>
            <a:ext cx="2772000" cy="2472759"/>
          </a:xfrm>
          <a:prstGeom prst="rect">
            <a:avLst/>
          </a:prstGeom>
        </xdr:spPr>
      </xdr:pic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7467600" y="1076325"/>
            <a:ext cx="2772000" cy="542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/>
              <a:t>MONTAGEM EM "</a:t>
            </a:r>
            <a:r>
              <a:rPr lang="pt-BR" sz="1400">
                <a:solidFill>
                  <a:srgbClr val="FF0000"/>
                </a:solidFill>
              </a:rPr>
              <a:t>O</a:t>
            </a:r>
            <a:r>
              <a:rPr lang="pt-BR" sz="1400"/>
              <a:t>"</a:t>
            </a:r>
          </a:p>
        </xdr:txBody>
      </xdr:sp>
    </xdr:grpSp>
    <xdr:clientData/>
  </xdr:twoCellAnchor>
  <xdr:twoCellAnchor>
    <xdr:from>
      <xdr:col>15</xdr:col>
      <xdr:colOff>495300</xdr:colOff>
      <xdr:row>26</xdr:row>
      <xdr:rowOff>0</xdr:rowOff>
    </xdr:from>
    <xdr:to>
      <xdr:col>22</xdr:col>
      <xdr:colOff>276225</xdr:colOff>
      <xdr:row>29</xdr:row>
      <xdr:rowOff>114300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10677525" y="5210175"/>
          <a:ext cx="4048125" cy="8286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rgbClr val="FF0000"/>
              </a:solidFill>
            </a:rPr>
            <a:t>ATENÇÃO:</a:t>
          </a:r>
        </a:p>
        <a:p>
          <a:r>
            <a:rPr lang="pt-BR" sz="1200" b="0">
              <a:solidFill>
                <a:sysClr val="windowText" lastClr="000000"/>
              </a:solidFill>
            </a:rPr>
            <a:t>Os diferentes</a:t>
          </a:r>
          <a:r>
            <a:rPr lang="pt-BR" sz="1200" b="0" baseline="0">
              <a:solidFill>
                <a:sysClr val="windowText" lastClr="000000"/>
              </a:solidFill>
            </a:rPr>
            <a:t> catálogos indicam o valor de "</a:t>
          </a:r>
          <a:r>
            <a:rPr lang="pt-BR" sz="1200" b="0" baseline="0">
              <a:solidFill>
                <a:srgbClr val="FF0000"/>
              </a:solidFill>
            </a:rPr>
            <a:t>a</a:t>
          </a:r>
          <a:r>
            <a:rPr lang="pt-BR" sz="1200" b="0" baseline="0">
              <a:solidFill>
                <a:sysClr val="windowText" lastClr="000000"/>
              </a:solidFill>
            </a:rPr>
            <a:t>" de diferentes formas.</a:t>
          </a:r>
          <a:endParaRPr lang="pt-BR" sz="1200" b="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14</xdr:col>
      <xdr:colOff>152400</xdr:colOff>
      <xdr:row>52</xdr:row>
      <xdr:rowOff>47625</xdr:rowOff>
    </xdr:from>
    <xdr:ext cx="299697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 txBox="1"/>
          </xdr:nvSpPr>
          <xdr:spPr>
            <a:xfrm>
              <a:off x="11029950" y="2190750"/>
              <a:ext cx="299697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pt-BR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℃</m:t>
                        </m:r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DDD0D55E-54C4-44E0-B1AE-9E6F702C8BDD}"/>
                </a:ext>
              </a:extLst>
            </xdr:cNvPr>
            <xdr:cNvSpPr txBox="1"/>
          </xdr:nvSpPr>
          <xdr:spPr>
            <a:xfrm>
              <a:off x="11029950" y="2190750"/>
              <a:ext cx="299697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℃^(</a:t>
              </a:r>
              <a:r>
                <a:rPr lang="pt-BR" sz="1100" b="0" i="0">
                  <a:latin typeface="Cambria Math" panose="02040503050406030204" pitchFamily="18" charset="0"/>
                </a:rPr>
                <a:t>−1)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14</xdr:col>
      <xdr:colOff>152400</xdr:colOff>
      <xdr:row>54</xdr:row>
      <xdr:rowOff>47625</xdr:rowOff>
    </xdr:from>
    <xdr:ext cx="299697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 txBox="1"/>
          </xdr:nvSpPr>
          <xdr:spPr>
            <a:xfrm>
              <a:off x="11029950" y="2667000"/>
              <a:ext cx="299697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pt-BR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℃</m:t>
                        </m:r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D314258D-1AE3-4628-8580-02B0A1946FD7}"/>
                </a:ext>
              </a:extLst>
            </xdr:cNvPr>
            <xdr:cNvSpPr txBox="1"/>
          </xdr:nvSpPr>
          <xdr:spPr>
            <a:xfrm>
              <a:off x="11029950" y="2667000"/>
              <a:ext cx="299697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℃^(</a:t>
              </a:r>
              <a:r>
                <a:rPr lang="pt-BR" sz="1100" b="0" i="0">
                  <a:latin typeface="Cambria Math" panose="02040503050406030204" pitchFamily="18" charset="0"/>
                </a:rPr>
                <a:t>−1)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14</xdr:col>
      <xdr:colOff>200025</xdr:colOff>
      <xdr:row>56</xdr:row>
      <xdr:rowOff>47625</xdr:rowOff>
    </xdr:from>
    <xdr:ext cx="1594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 txBox="1"/>
          </xdr:nvSpPr>
          <xdr:spPr>
            <a:xfrm>
              <a:off x="11077575" y="3143250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℃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42C9D1DD-CB2F-4D50-A7D0-2D6A04F916D7}"/>
                </a:ext>
              </a:extLst>
            </xdr:cNvPr>
            <xdr:cNvSpPr txBox="1"/>
          </xdr:nvSpPr>
          <xdr:spPr>
            <a:xfrm>
              <a:off x="11077575" y="3143250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14</xdr:col>
      <xdr:colOff>200025</xdr:colOff>
      <xdr:row>57</xdr:row>
      <xdr:rowOff>28575</xdr:rowOff>
    </xdr:from>
    <xdr:ext cx="1594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 txBox="1"/>
          </xdr:nvSpPr>
          <xdr:spPr>
            <a:xfrm>
              <a:off x="11077575" y="3362325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℃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AE80B19-2E7C-46C4-B88F-EC2643F952A7}"/>
                </a:ext>
              </a:extLst>
            </xdr:cNvPr>
            <xdr:cNvSpPr txBox="1"/>
          </xdr:nvSpPr>
          <xdr:spPr>
            <a:xfrm>
              <a:off x="11077575" y="3362325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14</xdr:col>
      <xdr:colOff>190500</xdr:colOff>
      <xdr:row>58</xdr:row>
      <xdr:rowOff>28575</xdr:rowOff>
    </xdr:from>
    <xdr:ext cx="1594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 txBox="1"/>
          </xdr:nvSpPr>
          <xdr:spPr>
            <a:xfrm>
              <a:off x="11068050" y="3600450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℃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BFEA773-F7FA-4DA1-94D9-18A170BD2293}"/>
                </a:ext>
              </a:extLst>
            </xdr:cNvPr>
            <xdr:cNvSpPr txBox="1"/>
          </xdr:nvSpPr>
          <xdr:spPr>
            <a:xfrm>
              <a:off x="11068050" y="3600450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14</xdr:col>
      <xdr:colOff>200025</xdr:colOff>
      <xdr:row>59</xdr:row>
      <xdr:rowOff>19050</xdr:rowOff>
    </xdr:from>
    <xdr:ext cx="1594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/>
          </xdr:nvSpPr>
          <xdr:spPr>
            <a:xfrm>
              <a:off x="11077575" y="3829050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℃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DAC2ACA2-E509-4491-A103-DE853C463417}"/>
                </a:ext>
              </a:extLst>
            </xdr:cNvPr>
            <xdr:cNvSpPr txBox="1"/>
          </xdr:nvSpPr>
          <xdr:spPr>
            <a:xfrm>
              <a:off x="11077575" y="3829050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14</xdr:col>
      <xdr:colOff>190500</xdr:colOff>
      <xdr:row>60</xdr:row>
      <xdr:rowOff>19050</xdr:rowOff>
    </xdr:from>
    <xdr:ext cx="1594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 txBox="1"/>
          </xdr:nvSpPr>
          <xdr:spPr>
            <a:xfrm>
              <a:off x="11068050" y="4067175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℃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BEDE3B72-06C0-411C-A04F-E5C974488C5D}"/>
                </a:ext>
              </a:extLst>
            </xdr:cNvPr>
            <xdr:cNvSpPr txBox="1"/>
          </xdr:nvSpPr>
          <xdr:spPr>
            <a:xfrm>
              <a:off x="11068050" y="4067175"/>
              <a:ext cx="1594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℃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19</xdr:col>
      <xdr:colOff>123825</xdr:colOff>
      <xdr:row>31</xdr:row>
      <xdr:rowOff>161924</xdr:rowOff>
    </xdr:from>
    <xdr:to>
      <xdr:col>22</xdr:col>
      <xdr:colOff>84225</xdr:colOff>
      <xdr:row>32</xdr:row>
      <xdr:rowOff>219074</xdr:rowOff>
    </xdr:to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11896725" y="6562724"/>
          <a:ext cx="17892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MONTAGEM EM X</a:t>
          </a:r>
        </a:p>
      </xdr:txBody>
    </xdr:sp>
    <xdr:clientData/>
  </xdr:twoCellAnchor>
  <xdr:twoCellAnchor>
    <xdr:from>
      <xdr:col>22</xdr:col>
      <xdr:colOff>295275</xdr:colOff>
      <xdr:row>31</xdr:row>
      <xdr:rowOff>161924</xdr:rowOff>
    </xdr:from>
    <xdr:to>
      <xdr:col>22</xdr:col>
      <xdr:colOff>2084475</xdr:colOff>
      <xdr:row>32</xdr:row>
      <xdr:rowOff>219074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13896975" y="6562724"/>
          <a:ext cx="17892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MONTAGEM EM 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33</xdr:row>
          <xdr:rowOff>47625</xdr:rowOff>
        </xdr:from>
        <xdr:to>
          <xdr:col>22</xdr:col>
          <xdr:colOff>66675</xdr:colOff>
          <xdr:row>44</xdr:row>
          <xdr:rowOff>19050</xdr:rowOff>
        </xdr:to>
        <xdr:sp macro="" textlink="">
          <xdr:nvSpPr>
            <xdr:cNvPr id="3084" name="Object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323850</xdr:colOff>
          <xdr:row>33</xdr:row>
          <xdr:rowOff>57150</xdr:rowOff>
        </xdr:from>
        <xdr:to>
          <xdr:col>22</xdr:col>
          <xdr:colOff>2085975</xdr:colOff>
          <xdr:row>44</xdr:row>
          <xdr:rowOff>28575</xdr:rowOff>
        </xdr:to>
        <xdr:sp macro="" textlink="">
          <xdr:nvSpPr>
            <xdr:cNvPr id="3085" name="Object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0</xdr:colOff>
      <xdr:row>69</xdr:row>
      <xdr:rowOff>161925</xdr:rowOff>
    </xdr:from>
    <xdr:to>
      <xdr:col>14</xdr:col>
      <xdr:colOff>590550</xdr:colOff>
      <xdr:row>72</xdr:row>
      <xdr:rowOff>133350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019550" y="15420975"/>
          <a:ext cx="5743575" cy="542925"/>
        </a:xfrm>
        <a:prstGeom prst="rect">
          <a:avLst/>
        </a:prstGeom>
        <a:solidFill>
          <a:schemeClr val="lt1"/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/>
            <a:t>NOTA IMPORTANTE:</a:t>
          </a:r>
        </a:p>
        <a:p>
          <a:r>
            <a:rPr lang="pt-BR" sz="1400"/>
            <a:t>Se</a:t>
          </a:r>
          <a:r>
            <a:rPr lang="pt-BR" sz="1400" baseline="0"/>
            <a:t> a folga for negativa significa que deve ser dado um pré-aperto.</a:t>
          </a:r>
          <a:endParaRPr lang="pt-BR" sz="14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7BFE6-69C6-4F3F-B0B6-27624A63B8D1}">
  <sheetPr codeName="Planilha3"/>
  <dimension ref="A1:AM187"/>
  <sheetViews>
    <sheetView tabSelected="1" zoomScaleNormal="100" workbookViewId="0">
      <selection activeCell="W8" sqref="W8"/>
    </sheetView>
  </sheetViews>
  <sheetFormatPr defaultRowHeight="15" x14ac:dyDescent="0.25"/>
  <cols>
    <col min="2" max="2" width="13.85546875" customWidth="1"/>
    <col min="3" max="3" width="14.28515625" customWidth="1"/>
    <col min="6" max="6" width="2.85546875" customWidth="1"/>
    <col min="7" max="7" width="1.85546875" customWidth="1"/>
    <col min="14" max="14" width="22.42578125" customWidth="1"/>
    <col min="16" max="16" width="2.42578125" customWidth="1"/>
    <col min="23" max="23" width="40.42578125" customWidth="1"/>
  </cols>
  <sheetData>
    <row r="1" spans="1:3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ht="26.25" x14ac:dyDescent="0.4">
      <c r="A2" s="1"/>
      <c r="B2" s="1"/>
      <c r="C2" s="1"/>
      <c r="D2" s="1"/>
      <c r="E2" s="1"/>
      <c r="F2" s="1"/>
      <c r="G2" s="1"/>
      <c r="H2" s="1"/>
      <c r="I2" s="3" t="s">
        <v>0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6.7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1:3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 t="s">
        <v>53</v>
      </c>
      <c r="AL6" s="15" t="s">
        <v>34</v>
      </c>
      <c r="AM6" s="1"/>
    </row>
    <row r="7" spans="1:39" ht="21" x14ac:dyDescent="0.35">
      <c r="A7" s="1"/>
      <c r="B7" s="5"/>
      <c r="C7" s="5"/>
      <c r="D7" s="5"/>
      <c r="E7" s="5"/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 t="s">
        <v>54</v>
      </c>
      <c r="AL7" s="15" t="s">
        <v>35</v>
      </c>
      <c r="AM7" s="1"/>
    </row>
    <row r="8" spans="1:39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x14ac:dyDescent="0.25">
      <c r="A22" s="1"/>
      <c r="B22" s="4" t="s">
        <v>8</v>
      </c>
      <c r="C22" s="22" t="s">
        <v>9</v>
      </c>
      <c r="D22" s="22"/>
      <c r="E22" s="22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ht="18.75" x14ac:dyDescent="0.25">
      <c r="A23" s="1"/>
      <c r="B23" s="4" t="s">
        <v>6</v>
      </c>
      <c r="C23" s="21">
        <v>1.1E-5</v>
      </c>
      <c r="D23" s="21"/>
      <c r="E23" s="21"/>
      <c r="F23" s="21"/>
      <c r="G23" s="1"/>
      <c r="H23" s="23" t="s">
        <v>1</v>
      </c>
      <c r="I23" s="23"/>
      <c r="J23" s="23"/>
      <c r="K23" s="2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x14ac:dyDescent="0.25">
      <c r="A24" s="1"/>
      <c r="B24" s="4" t="s">
        <v>7</v>
      </c>
      <c r="C24" s="21">
        <v>2.4000000000000001E-5</v>
      </c>
      <c r="D24" s="21"/>
      <c r="E24" s="21"/>
      <c r="F24" s="21"/>
      <c r="G24" s="1"/>
      <c r="H24" s="19" t="s">
        <v>39</v>
      </c>
      <c r="I24" s="19"/>
      <c r="J24" s="19"/>
      <c r="K24" s="19"/>
      <c r="L24" s="19"/>
      <c r="M24" s="19"/>
      <c r="N24" s="19"/>
      <c r="O24" s="19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ht="18.75" x14ac:dyDescent="0.25">
      <c r="A25" s="1"/>
      <c r="B25" s="4" t="s">
        <v>5</v>
      </c>
      <c r="C25" s="21">
        <v>1.2E-5</v>
      </c>
      <c r="D25" s="21"/>
      <c r="E25" s="21"/>
      <c r="F25" s="21"/>
      <c r="G25" s="1"/>
      <c r="H25" s="18" t="s">
        <v>37</v>
      </c>
      <c r="I25" s="18"/>
      <c r="J25" s="18"/>
      <c r="K25" s="18"/>
      <c r="L25" s="18"/>
      <c r="M25" s="18"/>
      <c r="N25" s="9" t="s">
        <v>66</v>
      </c>
      <c r="O25" s="6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ht="18.75" x14ac:dyDescent="0.25">
      <c r="A26" s="1"/>
      <c r="B26" s="1"/>
      <c r="C26" s="1"/>
      <c r="D26" s="1"/>
      <c r="E26" s="1"/>
      <c r="F26" s="1"/>
      <c r="G26" s="1"/>
      <c r="H26" s="18" t="s">
        <v>55</v>
      </c>
      <c r="I26" s="18"/>
      <c r="J26" s="18"/>
      <c r="K26" s="18"/>
      <c r="L26" s="18"/>
      <c r="M26" s="18"/>
      <c r="N26" s="8" t="s">
        <v>54</v>
      </c>
      <c r="O26" s="6" t="s">
        <v>2</v>
      </c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ht="18.75" x14ac:dyDescent="0.25">
      <c r="A27" s="1"/>
      <c r="B27" s="21" t="s">
        <v>10</v>
      </c>
      <c r="C27" s="21"/>
      <c r="D27" s="22" t="s">
        <v>13</v>
      </c>
      <c r="E27" s="22"/>
      <c r="F27" s="1"/>
      <c r="G27" s="1"/>
      <c r="H27" s="18" t="s">
        <v>43</v>
      </c>
      <c r="I27" s="18"/>
      <c r="J27" s="18"/>
      <c r="K27" s="18"/>
      <c r="L27" s="18"/>
      <c r="M27" s="18"/>
      <c r="N27" s="8">
        <v>7.5</v>
      </c>
      <c r="O27" s="6" t="s">
        <v>2</v>
      </c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 ht="18.75" x14ac:dyDescent="0.25">
      <c r="A28" s="1"/>
      <c r="B28" s="6" t="s">
        <v>11</v>
      </c>
      <c r="C28" s="6" t="s">
        <v>18</v>
      </c>
      <c r="D28" s="6" t="s">
        <v>11</v>
      </c>
      <c r="E28" s="6" t="s">
        <v>12</v>
      </c>
      <c r="F28" s="1"/>
      <c r="G28" s="1"/>
      <c r="H28" s="18" t="s">
        <v>41</v>
      </c>
      <c r="I28" s="18"/>
      <c r="J28" s="18"/>
      <c r="K28" s="18"/>
      <c r="L28" s="18"/>
      <c r="M28" s="18"/>
      <c r="N28" s="8">
        <v>30</v>
      </c>
      <c r="O28" s="6" t="s">
        <v>2</v>
      </c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39" ht="18.75" x14ac:dyDescent="0.25">
      <c r="A29" s="1"/>
      <c r="B29" s="6">
        <v>0</v>
      </c>
      <c r="C29" s="6">
        <v>300</v>
      </c>
      <c r="D29" s="6">
        <v>5</v>
      </c>
      <c r="E29" s="6">
        <v>10</v>
      </c>
      <c r="F29" s="1"/>
      <c r="G29" s="1"/>
      <c r="H29" s="18" t="s">
        <v>42</v>
      </c>
      <c r="I29" s="18"/>
      <c r="J29" s="18"/>
      <c r="K29" s="18"/>
      <c r="L29" s="18"/>
      <c r="M29" s="18"/>
      <c r="N29" s="17" cm="1">
        <f t="array" ref="N29">m1ou2(N27,N28,N26)</f>
        <v>7.5</v>
      </c>
      <c r="O29" s="6" t="s">
        <v>2</v>
      </c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39" ht="18.75" x14ac:dyDescent="0.25">
      <c r="A30" s="1"/>
      <c r="B30" s="6">
        <v>300</v>
      </c>
      <c r="C30" s="6">
        <v>1200</v>
      </c>
      <c r="D30" s="6">
        <v>10</v>
      </c>
      <c r="E30" s="6">
        <v>20</v>
      </c>
      <c r="F30" s="1"/>
      <c r="G30" s="1"/>
      <c r="H30" s="18" t="s">
        <v>44</v>
      </c>
      <c r="I30" s="18"/>
      <c r="J30" s="18"/>
      <c r="K30" s="18"/>
      <c r="L30" s="18"/>
      <c r="M30" s="18"/>
      <c r="N30" s="16">
        <v>55</v>
      </c>
      <c r="O30" s="6" t="s">
        <v>2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 ht="18.75" x14ac:dyDescent="0.25">
      <c r="A31" s="1"/>
      <c r="B31" s="6">
        <v>1200</v>
      </c>
      <c r="C31" s="6">
        <v>2000</v>
      </c>
      <c r="D31" s="6">
        <v>20</v>
      </c>
      <c r="E31" s="6">
        <v>30</v>
      </c>
      <c r="F31" s="1"/>
      <c r="G31" s="1"/>
      <c r="H31" s="18" t="s">
        <v>45</v>
      </c>
      <c r="I31" s="18"/>
      <c r="J31" s="18"/>
      <c r="K31" s="18"/>
      <c r="L31" s="18"/>
      <c r="M31" s="18"/>
      <c r="N31" s="16">
        <v>95</v>
      </c>
      <c r="O31" s="6" t="s">
        <v>2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 ht="18.75" x14ac:dyDescent="0.25">
      <c r="A32" s="1"/>
      <c r="B32" s="6">
        <v>2000</v>
      </c>
      <c r="C32" s="6">
        <v>4000</v>
      </c>
      <c r="D32" s="6">
        <v>30</v>
      </c>
      <c r="E32" s="6">
        <v>40</v>
      </c>
      <c r="F32" s="1"/>
      <c r="G32" s="1"/>
      <c r="H32" s="18" t="s">
        <v>51</v>
      </c>
      <c r="I32" s="18"/>
      <c r="J32" s="18"/>
      <c r="K32" s="18"/>
      <c r="L32" s="18"/>
      <c r="M32" s="18"/>
      <c r="N32" s="17">
        <f>(N30+N31)/2</f>
        <v>75</v>
      </c>
      <c r="O32" s="6" t="s">
        <v>2</v>
      </c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 ht="18.75" x14ac:dyDescent="0.25">
      <c r="A33" s="1"/>
      <c r="B33" s="1"/>
      <c r="C33" s="1"/>
      <c r="D33" s="1"/>
      <c r="E33" s="1"/>
      <c r="F33" s="1"/>
      <c r="G33" s="1"/>
      <c r="H33" s="18" t="s">
        <v>57</v>
      </c>
      <c r="I33" s="18"/>
      <c r="J33" s="18"/>
      <c r="K33" s="18"/>
      <c r="L33" s="18"/>
      <c r="M33" s="18"/>
      <c r="N33" s="16">
        <v>0.37</v>
      </c>
      <c r="O33" s="6" t="s">
        <v>2</v>
      </c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 ht="18.75" x14ac:dyDescent="0.25">
      <c r="A34" s="1"/>
      <c r="B34" s="1"/>
      <c r="C34" s="1"/>
      <c r="D34" s="1"/>
      <c r="E34" s="1"/>
      <c r="F34" s="1"/>
      <c r="G34" s="1"/>
      <c r="H34" s="18" t="s">
        <v>58</v>
      </c>
      <c r="I34" s="18"/>
      <c r="J34" s="18"/>
      <c r="K34" s="18"/>
      <c r="L34" s="18"/>
      <c r="M34" s="18"/>
      <c r="N34" s="13">
        <f>1.5/N33</f>
        <v>4.0540540540540544</v>
      </c>
      <c r="O34" s="6" t="s">
        <v>2</v>
      </c>
      <c r="P34" s="1"/>
      <c r="Q34" s="20" t="s">
        <v>29</v>
      </c>
      <c r="R34" s="20"/>
      <c r="S34" s="20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20" t="s">
        <v>31</v>
      </c>
      <c r="R35" s="20"/>
      <c r="S35" s="20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 x14ac:dyDescent="0.25">
      <c r="A36" s="1"/>
      <c r="B36" s="1"/>
      <c r="C36" s="1"/>
      <c r="D36" s="1"/>
      <c r="E36" s="1"/>
      <c r="F36" s="1"/>
      <c r="G36" s="1"/>
      <c r="H36" s="19" t="s">
        <v>40</v>
      </c>
      <c r="I36" s="19"/>
      <c r="J36" s="19"/>
      <c r="K36" s="19"/>
      <c r="L36" s="19"/>
      <c r="M36" s="19"/>
      <c r="N36" s="19"/>
      <c r="O36" s="19"/>
      <c r="P36" s="1"/>
      <c r="Q36" s="20" t="s">
        <v>30</v>
      </c>
      <c r="R36" s="20"/>
      <c r="S36" s="20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 ht="18.75" x14ac:dyDescent="0.25">
      <c r="A37" s="1"/>
      <c r="B37" s="1"/>
      <c r="C37" s="1"/>
      <c r="D37" s="1"/>
      <c r="E37" s="1"/>
      <c r="F37" s="1"/>
      <c r="G37" s="1"/>
      <c r="H37" s="18" t="s">
        <v>38</v>
      </c>
      <c r="I37" s="18"/>
      <c r="J37" s="18"/>
      <c r="K37" s="18"/>
      <c r="L37" s="18"/>
      <c r="M37" s="18"/>
      <c r="N37" s="9" t="s">
        <v>66</v>
      </c>
      <c r="O37" s="6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 ht="18.75" x14ac:dyDescent="0.25">
      <c r="A38" s="1"/>
      <c r="B38" s="1"/>
      <c r="C38" s="1"/>
      <c r="D38" s="1"/>
      <c r="E38" s="1"/>
      <c r="F38" s="1"/>
      <c r="G38" s="1"/>
      <c r="H38" s="18" t="s">
        <v>56</v>
      </c>
      <c r="I38" s="18"/>
      <c r="J38" s="18"/>
      <c r="K38" s="18"/>
      <c r="L38" s="18"/>
      <c r="M38" s="18"/>
      <c r="N38" s="8" t="s">
        <v>54</v>
      </c>
      <c r="O38" s="6" t="s">
        <v>2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 ht="18.75" x14ac:dyDescent="0.25">
      <c r="A39" s="1"/>
      <c r="B39" s="1"/>
      <c r="C39" s="1"/>
      <c r="D39" s="1"/>
      <c r="E39" s="1"/>
      <c r="F39" s="1"/>
      <c r="G39" s="1"/>
      <c r="H39" s="18" t="s">
        <v>46</v>
      </c>
      <c r="I39" s="18"/>
      <c r="J39" s="18"/>
      <c r="K39" s="18"/>
      <c r="L39" s="18"/>
      <c r="M39" s="18"/>
      <c r="N39" s="8">
        <v>7.5</v>
      </c>
      <c r="O39" s="6" t="s">
        <v>2</v>
      </c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 ht="18.75" x14ac:dyDescent="0.25">
      <c r="A40" s="1"/>
      <c r="B40" s="1"/>
      <c r="C40" s="1"/>
      <c r="D40" s="1"/>
      <c r="E40" s="1"/>
      <c r="F40" s="1"/>
      <c r="G40" s="1"/>
      <c r="H40" s="18" t="s">
        <v>47</v>
      </c>
      <c r="I40" s="18"/>
      <c r="J40" s="18"/>
      <c r="K40" s="18"/>
      <c r="L40" s="18"/>
      <c r="M40" s="18"/>
      <c r="N40" s="8">
        <v>30</v>
      </c>
      <c r="O40" s="6" t="s">
        <v>2</v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ht="18.75" x14ac:dyDescent="0.25">
      <c r="A41" s="1"/>
      <c r="B41" s="1"/>
      <c r="C41" s="1"/>
      <c r="D41" s="1"/>
      <c r="E41" s="1"/>
      <c r="F41" s="1"/>
      <c r="G41" s="1"/>
      <c r="H41" s="18" t="s">
        <v>48</v>
      </c>
      <c r="I41" s="18"/>
      <c r="J41" s="18"/>
      <c r="K41" s="18"/>
      <c r="L41" s="18"/>
      <c r="M41" s="18"/>
      <c r="N41" s="17" cm="1">
        <f t="array" ref="N41">m1ou2(N39,N40,N38)</f>
        <v>7.5</v>
      </c>
      <c r="O41" s="6" t="s">
        <v>2</v>
      </c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 ht="18.75" x14ac:dyDescent="0.25">
      <c r="A42" s="1"/>
      <c r="B42" s="1"/>
      <c r="C42" s="1"/>
      <c r="D42" s="1"/>
      <c r="E42" s="1"/>
      <c r="F42" s="1"/>
      <c r="G42" s="1"/>
      <c r="H42" s="18" t="s">
        <v>49</v>
      </c>
      <c r="I42" s="18"/>
      <c r="J42" s="18"/>
      <c r="K42" s="18"/>
      <c r="L42" s="18"/>
      <c r="M42" s="18"/>
      <c r="N42" s="16">
        <v>55</v>
      </c>
      <c r="O42" s="6" t="s">
        <v>2</v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 ht="18.75" x14ac:dyDescent="0.25">
      <c r="A43" s="1"/>
      <c r="B43" s="1"/>
      <c r="C43" s="1"/>
      <c r="D43" s="1"/>
      <c r="E43" s="1"/>
      <c r="F43" s="1"/>
      <c r="G43" s="1"/>
      <c r="H43" s="18" t="s">
        <v>50</v>
      </c>
      <c r="I43" s="18"/>
      <c r="J43" s="18"/>
      <c r="K43" s="18"/>
      <c r="L43" s="18"/>
      <c r="M43" s="18"/>
      <c r="N43" s="16">
        <v>95</v>
      </c>
      <c r="O43" s="6" t="s">
        <v>2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 ht="18.75" x14ac:dyDescent="0.25">
      <c r="A44" s="1"/>
      <c r="B44" s="1"/>
      <c r="C44" s="1"/>
      <c r="D44" s="1"/>
      <c r="E44" s="1"/>
      <c r="F44" s="1"/>
      <c r="G44" s="1"/>
      <c r="H44" s="18" t="s">
        <v>52</v>
      </c>
      <c r="I44" s="18"/>
      <c r="J44" s="18"/>
      <c r="K44" s="18"/>
      <c r="L44" s="18"/>
      <c r="M44" s="18"/>
      <c r="N44" s="17">
        <f>(N42+N43)/2</f>
        <v>75</v>
      </c>
      <c r="O44" s="6" t="s">
        <v>2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 ht="18.75" x14ac:dyDescent="0.25">
      <c r="A45" s="1"/>
      <c r="B45" s="1"/>
      <c r="C45" s="1"/>
      <c r="D45" s="1"/>
      <c r="E45" s="1"/>
      <c r="F45" s="1"/>
      <c r="G45" s="1"/>
      <c r="H45" s="18" t="s">
        <v>65</v>
      </c>
      <c r="I45" s="18"/>
      <c r="J45" s="18"/>
      <c r="K45" s="18"/>
      <c r="L45" s="18"/>
      <c r="M45" s="18"/>
      <c r="N45" s="16">
        <v>0.37</v>
      </c>
      <c r="O45" s="6" t="s">
        <v>2</v>
      </c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 ht="18.75" x14ac:dyDescent="0.25">
      <c r="A46" s="1"/>
      <c r="B46" s="1"/>
      <c r="C46" s="1"/>
      <c r="D46" s="1"/>
      <c r="E46" s="1"/>
      <c r="F46" s="1"/>
      <c r="G46" s="1"/>
      <c r="H46" s="18" t="s">
        <v>59</v>
      </c>
      <c r="I46" s="18"/>
      <c r="J46" s="18"/>
      <c r="K46" s="18"/>
      <c r="L46" s="18"/>
      <c r="M46" s="18"/>
      <c r="N46" s="13">
        <f>1.5/N45</f>
        <v>4.0540540540540544</v>
      </c>
      <c r="O46" s="6" t="s">
        <v>2</v>
      </c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 x14ac:dyDescent="0.25">
      <c r="A48" s="1"/>
      <c r="B48" s="1"/>
      <c r="C48" s="1"/>
      <c r="D48" s="1"/>
      <c r="E48" s="1"/>
      <c r="F48" s="1"/>
      <c r="G48" s="1"/>
      <c r="H48" s="19" t="s">
        <v>62</v>
      </c>
      <c r="I48" s="19"/>
      <c r="J48" s="19"/>
      <c r="K48" s="19"/>
      <c r="L48" s="19"/>
      <c r="M48" s="19"/>
      <c r="N48" s="19"/>
      <c r="O48" s="19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 ht="18.75" x14ac:dyDescent="0.25">
      <c r="A49" s="1"/>
      <c r="B49" s="1"/>
      <c r="C49" s="1"/>
      <c r="D49" s="1"/>
      <c r="E49" s="1"/>
      <c r="F49" s="1"/>
      <c r="G49" s="1"/>
      <c r="H49" s="18" t="s">
        <v>32</v>
      </c>
      <c r="I49" s="18"/>
      <c r="J49" s="18"/>
      <c r="K49" s="18"/>
      <c r="L49" s="18"/>
      <c r="M49" s="18"/>
      <c r="N49" s="7">
        <v>285</v>
      </c>
      <c r="O49" s="6" t="s">
        <v>2</v>
      </c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 ht="18.75" x14ac:dyDescent="0.25">
      <c r="A50" s="1"/>
      <c r="B50" s="1"/>
      <c r="C50" s="1"/>
      <c r="D50" s="1"/>
      <c r="E50" s="1"/>
      <c r="F50" s="1"/>
      <c r="G50" s="1"/>
      <c r="H50" s="18" t="s">
        <v>33</v>
      </c>
      <c r="I50" s="18"/>
      <c r="J50" s="18"/>
      <c r="K50" s="18"/>
      <c r="L50" s="18"/>
      <c r="M50" s="18"/>
      <c r="N50" s="8" t="s">
        <v>35</v>
      </c>
      <c r="O50" s="6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 ht="18.75" x14ac:dyDescent="0.25">
      <c r="A51" s="1"/>
      <c r="B51" s="1"/>
      <c r="C51" s="1"/>
      <c r="D51" s="1"/>
      <c r="E51" s="1"/>
      <c r="F51" s="1"/>
      <c r="G51" s="1"/>
      <c r="H51" s="18" t="s">
        <v>36</v>
      </c>
      <c r="I51" s="18"/>
      <c r="J51" s="18"/>
      <c r="K51" s="18"/>
      <c r="L51" s="18"/>
      <c r="M51" s="18"/>
      <c r="N51" s="13" cm="1">
        <f t="array" ref="N51">Lo(N49,N29,N41,N50)</f>
        <v>270</v>
      </c>
      <c r="O51" s="6" t="s">
        <v>2</v>
      </c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 ht="18.75" x14ac:dyDescent="0.25">
      <c r="A52" s="1"/>
      <c r="B52" s="1"/>
      <c r="C52" s="1"/>
      <c r="D52" s="1"/>
      <c r="E52" s="1"/>
      <c r="F52" s="1"/>
      <c r="G52" s="1"/>
      <c r="H52" s="18" t="s">
        <v>3</v>
      </c>
      <c r="I52" s="18"/>
      <c r="J52" s="18"/>
      <c r="K52" s="18"/>
      <c r="L52" s="18"/>
      <c r="M52" s="18"/>
      <c r="N52" s="8" t="s">
        <v>6</v>
      </c>
      <c r="O52" s="6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 ht="18.75" x14ac:dyDescent="0.25">
      <c r="A53" s="1"/>
      <c r="B53" s="1"/>
      <c r="C53" s="1"/>
      <c r="D53" s="1"/>
      <c r="E53" s="1"/>
      <c r="F53" s="1"/>
      <c r="G53" s="1"/>
      <c r="H53" s="18" t="s">
        <v>14</v>
      </c>
      <c r="I53" s="18"/>
      <c r="J53" s="18"/>
      <c r="K53" s="18"/>
      <c r="L53" s="18"/>
      <c r="M53" s="18"/>
      <c r="N53" s="10">
        <f>VLOOKUP(N52,B23:F25,2,FALSE)</f>
        <v>1.1E-5</v>
      </c>
      <c r="O53" s="6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 ht="18.75" x14ac:dyDescent="0.25">
      <c r="A54" s="1"/>
      <c r="B54" s="1"/>
      <c r="C54" s="1"/>
      <c r="D54" s="1"/>
      <c r="E54" s="1"/>
      <c r="F54" s="1"/>
      <c r="G54" s="1"/>
      <c r="H54" s="18" t="s">
        <v>4</v>
      </c>
      <c r="I54" s="18"/>
      <c r="J54" s="18"/>
      <c r="K54" s="18"/>
      <c r="L54" s="18"/>
      <c r="M54" s="18"/>
      <c r="N54" s="8" t="s">
        <v>6</v>
      </c>
      <c r="O54" s="6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 ht="18.75" x14ac:dyDescent="0.25">
      <c r="A55" s="1"/>
      <c r="B55" s="1"/>
      <c r="C55" s="1"/>
      <c r="D55" s="1"/>
      <c r="E55" s="1"/>
      <c r="F55" s="1"/>
      <c r="G55" s="1"/>
      <c r="H55" s="18" t="s">
        <v>15</v>
      </c>
      <c r="I55" s="18"/>
      <c r="J55" s="18"/>
      <c r="K55" s="18"/>
      <c r="L55" s="18"/>
      <c r="M55" s="18"/>
      <c r="N55" s="10">
        <f>VLOOKUP(N54,B23:F25,2,FALSE)</f>
        <v>1.1E-5</v>
      </c>
      <c r="O55" s="6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 ht="18.75" x14ac:dyDescent="0.25">
      <c r="A56" s="1"/>
      <c r="B56" s="1"/>
      <c r="C56" s="1"/>
      <c r="D56" s="1"/>
      <c r="E56" s="1"/>
      <c r="F56" s="1"/>
      <c r="G56" s="1"/>
      <c r="H56" s="18" t="s">
        <v>16</v>
      </c>
      <c r="I56" s="18"/>
      <c r="J56" s="18"/>
      <c r="K56" s="18"/>
      <c r="L56" s="18"/>
      <c r="M56" s="18"/>
      <c r="N56" s="8">
        <v>65.599999999999994</v>
      </c>
      <c r="O56" s="6" t="s">
        <v>17</v>
      </c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 ht="18.75" x14ac:dyDescent="0.25">
      <c r="A57" s="1"/>
      <c r="B57" s="1"/>
      <c r="C57" s="1"/>
      <c r="D57" s="1"/>
      <c r="E57" s="1"/>
      <c r="F57" s="1"/>
      <c r="G57" s="1"/>
      <c r="H57" s="18" t="s">
        <v>23</v>
      </c>
      <c r="I57" s="18"/>
      <c r="J57" s="18"/>
      <c r="K57" s="18"/>
      <c r="L57" s="18"/>
      <c r="M57" s="18"/>
      <c r="N57" s="11" cm="1">
        <f t="array" ref="N57">deltaT(N56,N50)</f>
        <v>5</v>
      </c>
      <c r="O57" s="6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 ht="18.75" x14ac:dyDescent="0.25">
      <c r="A58" s="1"/>
      <c r="B58" s="1"/>
      <c r="C58" s="1"/>
      <c r="D58" s="1"/>
      <c r="E58" s="1"/>
      <c r="F58" s="1"/>
      <c r="G58" s="1"/>
      <c r="H58" s="18" t="s">
        <v>19</v>
      </c>
      <c r="I58" s="18"/>
      <c r="J58" s="18"/>
      <c r="K58" s="18"/>
      <c r="L58" s="18"/>
      <c r="M58" s="18"/>
      <c r="N58" s="9">
        <v>30</v>
      </c>
      <c r="O58" s="6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ht="18.75" x14ac:dyDescent="0.25">
      <c r="A59" s="1"/>
      <c r="B59" s="1"/>
      <c r="C59" s="1"/>
      <c r="D59" s="1"/>
      <c r="E59" s="1"/>
      <c r="F59" s="1"/>
      <c r="G59" s="1"/>
      <c r="H59" s="18" t="s">
        <v>20</v>
      </c>
      <c r="I59" s="18"/>
      <c r="J59" s="18"/>
      <c r="K59" s="18"/>
      <c r="L59" s="18"/>
      <c r="M59" s="18"/>
      <c r="N59" s="9">
        <v>60</v>
      </c>
      <c r="O59" s="6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 ht="18.75" x14ac:dyDescent="0.25">
      <c r="A60" s="1"/>
      <c r="B60" s="1"/>
      <c r="C60" s="1"/>
      <c r="D60" s="1"/>
      <c r="E60" s="1"/>
      <c r="F60" s="1"/>
      <c r="G60" s="1"/>
      <c r="H60" s="18" t="s">
        <v>21</v>
      </c>
      <c r="I60" s="18"/>
      <c r="J60" s="18"/>
      <c r="K60" s="18"/>
      <c r="L60" s="18"/>
      <c r="M60" s="18"/>
      <c r="N60" s="12">
        <f>N59-N58</f>
        <v>30</v>
      </c>
      <c r="O60" s="6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 ht="18.75" x14ac:dyDescent="0.25">
      <c r="A61" s="1"/>
      <c r="B61" s="1"/>
      <c r="C61" s="1"/>
      <c r="D61" s="1"/>
      <c r="E61" s="1"/>
      <c r="F61" s="1"/>
      <c r="G61" s="1"/>
      <c r="H61" s="18" t="s">
        <v>22</v>
      </c>
      <c r="I61" s="18"/>
      <c r="J61" s="18"/>
      <c r="K61" s="18"/>
      <c r="L61" s="18"/>
      <c r="M61" s="18"/>
      <c r="N61" s="12">
        <f>N60+N57</f>
        <v>35</v>
      </c>
      <c r="O61" s="6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ht="18.75" x14ac:dyDescent="0.25">
      <c r="A62" s="1"/>
      <c r="B62" s="1"/>
      <c r="C62" s="1"/>
      <c r="D62" s="1"/>
      <c r="E62" s="1"/>
      <c r="F62" s="1"/>
      <c r="G62" s="1"/>
      <c r="H62" s="18" t="s">
        <v>24</v>
      </c>
      <c r="I62" s="18"/>
      <c r="J62" s="18"/>
      <c r="K62" s="18"/>
      <c r="L62" s="18"/>
      <c r="M62" s="18"/>
      <c r="N62" s="13">
        <f>N51*N53*N61</f>
        <v>0.10395</v>
      </c>
      <c r="O62" s="6" t="s">
        <v>2</v>
      </c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ht="18.75" x14ac:dyDescent="0.25">
      <c r="A63" s="1"/>
      <c r="B63" s="1"/>
      <c r="C63" s="1"/>
      <c r="D63" s="1"/>
      <c r="E63" s="1"/>
      <c r="F63" s="1"/>
      <c r="G63" s="1"/>
      <c r="H63" s="18" t="s">
        <v>63</v>
      </c>
      <c r="I63" s="18"/>
      <c r="J63" s="18"/>
      <c r="K63" s="18"/>
      <c r="L63" s="18"/>
      <c r="M63" s="18"/>
      <c r="N63" s="13">
        <f>0.5*0.000011*N32*N34*N61</f>
        <v>5.8530405405405404E-2</v>
      </c>
      <c r="O63" s="6" t="s">
        <v>2</v>
      </c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ht="18.75" x14ac:dyDescent="0.25">
      <c r="A64" s="1"/>
      <c r="B64" s="1"/>
      <c r="C64" s="1"/>
      <c r="D64" s="1"/>
      <c r="E64" s="1"/>
      <c r="F64" s="1"/>
      <c r="G64" s="1"/>
      <c r="H64" s="18" t="s">
        <v>64</v>
      </c>
      <c r="I64" s="18"/>
      <c r="J64" s="18"/>
      <c r="K64" s="18"/>
      <c r="L64" s="18"/>
      <c r="M64" s="18"/>
      <c r="N64" s="13">
        <f>0.5*0.000011*N44*N46*N61</f>
        <v>5.8530405405405404E-2</v>
      </c>
      <c r="O64" s="6" t="s">
        <v>2</v>
      </c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ht="18.75" x14ac:dyDescent="0.25">
      <c r="A65" s="1"/>
      <c r="B65" s="1"/>
      <c r="C65" s="1"/>
      <c r="D65" s="1"/>
      <c r="E65" s="1"/>
      <c r="F65" s="1"/>
      <c r="G65" s="1"/>
      <c r="H65" s="18" t="s">
        <v>60</v>
      </c>
      <c r="I65" s="18"/>
      <c r="J65" s="18"/>
      <c r="K65" s="18"/>
      <c r="L65" s="18"/>
      <c r="M65" s="18"/>
      <c r="N65" s="13" cm="1">
        <f t="array" ref="N65">folga(N63,N64,N62,N50)</f>
        <v>1.3110810810810808E-2</v>
      </c>
      <c r="O65" s="6" t="s">
        <v>2</v>
      </c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ht="18.75" x14ac:dyDescent="0.25">
      <c r="A66" s="1"/>
      <c r="B66" s="1"/>
      <c r="C66" s="1"/>
      <c r="D66" s="1"/>
      <c r="E66" s="1"/>
      <c r="F66" s="1"/>
      <c r="G66" s="1"/>
      <c r="H66" s="18" t="s">
        <v>25</v>
      </c>
      <c r="I66" s="18"/>
      <c r="J66" s="18"/>
      <c r="K66" s="18"/>
      <c r="L66" s="18"/>
      <c r="M66" s="18"/>
      <c r="N66" s="13">
        <f>N51*N55*N60</f>
        <v>8.9099999999999999E-2</v>
      </c>
      <c r="O66" s="6" t="s">
        <v>2</v>
      </c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</row>
    <row r="67" spans="1:39" ht="18.75" x14ac:dyDescent="0.25">
      <c r="A67" s="1"/>
      <c r="B67" s="1"/>
      <c r="C67" s="1"/>
      <c r="D67" s="1"/>
      <c r="E67" s="1"/>
      <c r="F67" s="1"/>
      <c r="G67" s="1"/>
      <c r="H67" s="18" t="s">
        <v>61</v>
      </c>
      <c r="I67" s="18"/>
      <c r="J67" s="18"/>
      <c r="K67" s="18"/>
      <c r="L67" s="18"/>
      <c r="M67" s="18"/>
      <c r="N67" s="13">
        <f>N65-N66</f>
        <v>-7.5989189189189191E-2</v>
      </c>
      <c r="O67" s="6" t="s">
        <v>2</v>
      </c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</row>
    <row r="68" spans="1:39" ht="18.75" x14ac:dyDescent="0.25">
      <c r="A68" s="1"/>
      <c r="B68" s="1"/>
      <c r="C68" s="1"/>
      <c r="D68" s="1"/>
      <c r="E68" s="1"/>
      <c r="F68" s="1"/>
      <c r="G68" s="1"/>
      <c r="H68" s="18" t="s">
        <v>26</v>
      </c>
      <c r="I68" s="18"/>
      <c r="J68" s="18"/>
      <c r="K68" s="18"/>
      <c r="L68" s="18"/>
      <c r="M68" s="18"/>
      <c r="N68" s="14" cm="1">
        <f t="array" ref="N68">folgafinal(N67,N50)</f>
        <v>-7.5989189189189191E-2</v>
      </c>
      <c r="O68" s="6" t="s">
        <v>2</v>
      </c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</row>
    <row r="69" spans="1:39" ht="18.75" x14ac:dyDescent="0.25">
      <c r="A69" s="1"/>
      <c r="B69" s="1"/>
      <c r="C69" s="1"/>
      <c r="D69" s="1"/>
      <c r="E69" s="1"/>
      <c r="F69" s="1"/>
      <c r="G69" s="1"/>
      <c r="H69" s="18" t="s">
        <v>27</v>
      </c>
      <c r="I69" s="18"/>
      <c r="J69" s="18"/>
      <c r="K69" s="18"/>
      <c r="L69" s="18"/>
      <c r="M69" s="18"/>
      <c r="N69" s="14" t="s">
        <v>28</v>
      </c>
      <c r="O69" s="6" t="s">
        <v>2</v>
      </c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</row>
    <row r="70" spans="1:39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</row>
    <row r="71" spans="1:39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</row>
    <row r="72" spans="1:39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</row>
    <row r="73" spans="1:39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  <row r="76" spans="1:3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</row>
    <row r="77" spans="1:3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</row>
    <row r="78" spans="1:3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</row>
    <row r="79" spans="1:3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</row>
    <row r="80" spans="1:3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</row>
    <row r="81" spans="1:39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</row>
    <row r="82" spans="1:3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</row>
    <row r="83" spans="1:3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</row>
    <row r="84" spans="1:39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</row>
    <row r="85" spans="1:3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</row>
    <row r="86" spans="1:39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</row>
    <row r="87" spans="1:39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</row>
    <row r="88" spans="1:39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</row>
    <row r="89" spans="1:39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</row>
    <row r="90" spans="1:39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</row>
    <row r="91" spans="1:39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</row>
    <row r="92" spans="1:39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</row>
    <row r="93" spans="1:3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</row>
    <row r="94" spans="1:3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</row>
    <row r="95" spans="1:39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</row>
    <row r="96" spans="1:39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</row>
    <row r="97" spans="1:3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</row>
    <row r="98" spans="1:3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</row>
    <row r="99" spans="1:39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</row>
    <row r="100" spans="1:39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</row>
    <row r="101" spans="1:3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</row>
    <row r="102" spans="1:3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</row>
    <row r="103" spans="1:3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</row>
    <row r="104" spans="1:39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</row>
    <row r="105" spans="1:39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</row>
    <row r="106" spans="1:39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</row>
    <row r="107" spans="1:39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</row>
    <row r="108" spans="1:39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39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39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39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39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2:2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2:2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2:2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2:25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2:25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2:25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2:25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2:25" x14ac:dyDescent="0.25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2:25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2:25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2:25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2:25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2:25" x14ac:dyDescent="0.25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2:25" x14ac:dyDescent="0.25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2:25" x14ac:dyDescent="0.25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2:25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2:25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2:25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2:25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2:25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2:25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2:25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2:25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2:25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2:25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2:25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2:25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2:25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2:25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2:25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2:25" x14ac:dyDescent="0.25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2:25" x14ac:dyDescent="0.25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2:25" x14ac:dyDescent="0.25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2:25" x14ac:dyDescent="0.25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2:25" x14ac:dyDescent="0.25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2:25" x14ac:dyDescent="0.25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2:25" x14ac:dyDescent="0.25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2:25" x14ac:dyDescent="0.25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2:25" x14ac:dyDescent="0.25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2:25" x14ac:dyDescent="0.25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2:25" x14ac:dyDescent="0.25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2:25" x14ac:dyDescent="0.25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2:25" x14ac:dyDescent="0.25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2:25" x14ac:dyDescent="0.25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2:25" x14ac:dyDescent="0.25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2:25" x14ac:dyDescent="0.25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2:25" x14ac:dyDescent="0.25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2:25" x14ac:dyDescent="0.25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2:25" x14ac:dyDescent="0.25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2:25" x14ac:dyDescent="0.25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2:25" x14ac:dyDescent="0.25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2:25" x14ac:dyDescent="0.25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2:25" x14ac:dyDescent="0.25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2:25" x14ac:dyDescent="0.25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2:25" x14ac:dyDescent="0.25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2:25" x14ac:dyDescent="0.25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2:25" x14ac:dyDescent="0.25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2:25" x14ac:dyDescent="0.25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2:25" x14ac:dyDescent="0.25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2:25" x14ac:dyDescent="0.25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2:25" x14ac:dyDescent="0.25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2:25" x14ac:dyDescent="0.25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2:25" x14ac:dyDescent="0.25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2:25" x14ac:dyDescent="0.25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2:25" x14ac:dyDescent="0.25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2:25" x14ac:dyDescent="0.25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2:25" x14ac:dyDescent="0.25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2:25" x14ac:dyDescent="0.25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2:25" x14ac:dyDescent="0.25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2:25" x14ac:dyDescent="0.25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2:25" x14ac:dyDescent="0.25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2:25" x14ac:dyDescent="0.25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2:25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2:25" x14ac:dyDescent="0.25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2:25" x14ac:dyDescent="0.25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</sheetData>
  <mergeCells count="54">
    <mergeCell ref="C22:F22"/>
    <mergeCell ref="C23:F23"/>
    <mergeCell ref="H25:M25"/>
    <mergeCell ref="H24:O24"/>
    <mergeCell ref="H49:M49"/>
    <mergeCell ref="H26:M26"/>
    <mergeCell ref="H28:M28"/>
    <mergeCell ref="H31:M31"/>
    <mergeCell ref="H37:M37"/>
    <mergeCell ref="H39:M39"/>
    <mergeCell ref="H40:M40"/>
    <mergeCell ref="C24:F24"/>
    <mergeCell ref="H23:K23"/>
    <mergeCell ref="H30:M30"/>
    <mergeCell ref="C25:F25"/>
    <mergeCell ref="H38:M38"/>
    <mergeCell ref="B27:C27"/>
    <mergeCell ref="D27:E27"/>
    <mergeCell ref="H27:M27"/>
    <mergeCell ref="H36:O36"/>
    <mergeCell ref="H29:M29"/>
    <mergeCell ref="H32:M32"/>
    <mergeCell ref="H52:M52"/>
    <mergeCell ref="H48:O48"/>
    <mergeCell ref="Q34:S34"/>
    <mergeCell ref="Q35:S35"/>
    <mergeCell ref="Q36:S36"/>
    <mergeCell ref="H50:M50"/>
    <mergeCell ref="H51:M51"/>
    <mergeCell ref="H41:M41"/>
    <mergeCell ref="H42:M42"/>
    <mergeCell ref="H43:M43"/>
    <mergeCell ref="H44:M44"/>
    <mergeCell ref="H54:M54"/>
    <mergeCell ref="H55:M55"/>
    <mergeCell ref="H56:M56"/>
    <mergeCell ref="H57:M57"/>
    <mergeCell ref="H58:M58"/>
    <mergeCell ref="H68:M68"/>
    <mergeCell ref="H69:M69"/>
    <mergeCell ref="H33:M33"/>
    <mergeCell ref="H34:M34"/>
    <mergeCell ref="H63:M63"/>
    <mergeCell ref="H45:M45"/>
    <mergeCell ref="H46:M46"/>
    <mergeCell ref="H64:M64"/>
    <mergeCell ref="H59:M59"/>
    <mergeCell ref="H60:M60"/>
    <mergeCell ref="H61:M61"/>
    <mergeCell ref="H62:M62"/>
    <mergeCell ref="H66:M66"/>
    <mergeCell ref="H67:M67"/>
    <mergeCell ref="H65:M65"/>
    <mergeCell ref="H53:M53"/>
  </mergeCells>
  <conditionalFormatting sqref="N29">
    <cfRule type="cellIs" dxfId="4" priority="6" operator="equal">
      <formula>"erro na rotação do eixo"</formula>
    </cfRule>
  </conditionalFormatting>
  <conditionalFormatting sqref="N41">
    <cfRule type="cellIs" dxfId="3" priority="4" operator="equal">
      <formula>"erro na rotação do eixo"</formula>
    </cfRule>
  </conditionalFormatting>
  <conditionalFormatting sqref="N32">
    <cfRule type="cellIs" dxfId="2" priority="3" operator="equal">
      <formula>"erro na rotação do eixo"</formula>
    </cfRule>
  </conditionalFormatting>
  <conditionalFormatting sqref="N44">
    <cfRule type="cellIs" dxfId="1" priority="2" operator="equal">
      <formula>"erro na rotação do eixo"</formula>
    </cfRule>
  </conditionalFormatting>
  <conditionalFormatting sqref="N57">
    <cfRule type="cellIs" dxfId="0" priority="1" operator="equal">
      <formula>"erro na rotação do eixo"</formula>
    </cfRule>
  </conditionalFormatting>
  <dataValidations count="3">
    <dataValidation type="list" allowBlank="1" showInputMessage="1" showErrorMessage="1" sqref="N38 N26" xr:uid="{7602C44A-5B9C-4784-A97F-2364B48A5BB7}">
      <formula1>$AK$6:$AK$7</formula1>
    </dataValidation>
    <dataValidation type="list" allowBlank="1" showInputMessage="1" showErrorMessage="1" sqref="N50" xr:uid="{68EBA8CE-91F5-419D-9788-4FB781CE0B11}">
      <formula1>$AL$6:$AL$7</formula1>
    </dataValidation>
    <dataValidation type="list" allowBlank="1" showInputMessage="1" showErrorMessage="1" sqref="N54 N52" xr:uid="{46D0E08E-9CBC-459B-8549-316FE92F6EA5}">
      <formula1>$B$23:$B$25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DF" shapeId="3084" r:id="rId4">
          <objectPr defaultSize="0" autoPict="0" r:id="rId5">
            <anchor moveWithCells="1">
              <from>
                <xdr:col>19</xdr:col>
                <xdr:colOff>133350</xdr:colOff>
                <xdr:row>33</xdr:row>
                <xdr:rowOff>47625</xdr:rowOff>
              </from>
              <to>
                <xdr:col>22</xdr:col>
                <xdr:colOff>66675</xdr:colOff>
                <xdr:row>44</xdr:row>
                <xdr:rowOff>19050</xdr:rowOff>
              </to>
            </anchor>
          </objectPr>
        </oleObject>
      </mc:Choice>
      <mc:Fallback>
        <oleObject progId="PDF" shapeId="3084" r:id="rId4"/>
      </mc:Fallback>
    </mc:AlternateContent>
    <mc:AlternateContent xmlns:mc="http://schemas.openxmlformats.org/markup-compatibility/2006">
      <mc:Choice Requires="x14">
        <oleObject progId="PDF" shapeId="3085" r:id="rId6">
          <objectPr locked="0" defaultSize="0" autoPict="0" r:id="rId7">
            <anchor moveWithCells="1">
              <from>
                <xdr:col>22</xdr:col>
                <xdr:colOff>323850</xdr:colOff>
                <xdr:row>33</xdr:row>
                <xdr:rowOff>57150</xdr:rowOff>
              </from>
              <to>
                <xdr:col>22</xdr:col>
                <xdr:colOff>2085975</xdr:colOff>
                <xdr:row>44</xdr:row>
                <xdr:rowOff>28575</xdr:rowOff>
              </to>
            </anchor>
          </objectPr>
        </oleObject>
      </mc:Choice>
      <mc:Fallback>
        <oleObject progId="PDF" shapeId="3085" r:id="rId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Folga_Con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dcterms:created xsi:type="dcterms:W3CDTF">2022-01-31T11:44:38Z</dcterms:created>
  <dcterms:modified xsi:type="dcterms:W3CDTF">2022-10-31T23:57:38Z</dcterms:modified>
</cp:coreProperties>
</file>